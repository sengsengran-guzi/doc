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9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4" name="ID_03E3D9CC3CAD4D80BC52CFAD9FA841D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847340" y="279400"/>
          <a:ext cx="4200525" cy="6391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B9F901458AAC4119951AC509CAA849C9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761865" y="1155700"/>
          <a:ext cx="4419600" cy="861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6D4054353E034C5995655C0F0F8CE46E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4761865" y="2032000"/>
          <a:ext cx="4133850" cy="79057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498DCE23504243D582817C15DF221162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8074660" y="2032000"/>
          <a:ext cx="4705350" cy="6410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448E5FC704D94C2A9E5B627A79EE967B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4761865" y="2908300"/>
          <a:ext cx="4314825" cy="82010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63399EC3E80B4566A60D0ECFCBDE3B4C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4761865" y="3784600"/>
          <a:ext cx="4705350" cy="85153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064B3120738647D99CDB63B6CE8AF18D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4761865" y="4660900"/>
          <a:ext cx="4162425" cy="7829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4941D6FE75C14F29B42CCFDE86C8F2E8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4761865" y="5537200"/>
          <a:ext cx="10306050" cy="667702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<sst xmlns="http://schemas.openxmlformats.org/spreadsheetml/2006/main" count="19" uniqueCount="19">
  <si>
    <t>路径</t>
  </si>
  <si>
    <t>问题描述</t>
  </si>
  <si>
    <t>问题截图1</t>
  </si>
  <si>
    <t>问题截图2</t>
  </si>
  <si>
    <t>处理状态</t>
  </si>
  <si>
    <t>拼豆-我的预约</t>
  </si>
  <si>
    <t>1. 页面列表样式要调整，卡片最好横铺，取消预约应该在卡片内部</t>
  </si>
  <si>
    <t>拼豆-绑定微信信息</t>
  </si>
  <si>
    <t xml:space="preserve">1. 页面应该都显示中文（其他页面也检查一下）；
2. 绑定手机号失败
3. 绑定信息后，应立刻支付，才能预约，而不是先生成二维码，再支付
</t>
  </si>
  <si>
    <t>回收</t>
  </si>
  <si>
    <t>1. 物品有分类，还应该有ip，比如火影，比如海贼王之类的，用户可以输入也可以选择；
2. 预估金额的功能，暂时不要
3. 应该有一个预估时长的功能
4. 这种录入环节放在底部弹框会不会更好，回收板块更多做显示
5. 我觉得到店不应该是一个时间段，而应该是一个确定的时间点，给门店提醒，超时30分钟预约自动失效</t>
  </si>
  <si>
    <t>我的-预约看板</t>
  </si>
  <si>
    <t>1. 整体设计很乱，调整一下</t>
  </si>
  <si>
    <t>我的-谷子号外</t>
  </si>
  <si>
    <t>1. 卡片应该横向平铺，宽度应保持一致</t>
  </si>
  <si>
    <t>admin-菜单</t>
  </si>
  <si>
    <t>1. 一级菜单添加icon；二级菜单不要icon
2. 一级菜单应该和模块相关：主要有：系统管理，通用配置，拼豆业务，回收业务，扭蛋，预购。按模块分，而不是所有内容都放在谷子业务里</t>
  </si>
  <si>
    <t>admin-券模版</t>
  </si>
  <si>
    <t>1. 折扣类型下拉没数据；
2. 适用业务不要显示拼音
3. 发放策略应该有地方配置，比如新人，比如特定时间注册的人，比如执行过拼豆的人之类的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</si>
</sst>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rgb="FF7030A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"/>
  <sheetViews>
    <sheetView tabSelected="1" workbookViewId="0">
      <selection activeCell="C10" sqref="C10"/>
    </sheetView>
  </sheetViews>
  <sheetFormatPr defaultColWidth="9" defaultRowHeight="69" customHeight="1" outlineLevelRow="7" outlineLevelCol="4"/>
  <cols>
    <col min="1" max="1" width="18.875" style="2" customWidth="1"/>
    <col min="2" max="2" width="39.7109375" style="3" customWidth="1"/>
    <col min="3" max="3" width="40.7578125" style="2" customWidth="1"/>
    <col min="4" max="4" width="22.3984375" style="2" customWidth="1"/>
    <col min="5" max="16384" width="9" style="2"/>
  </cols>
  <sheetData>
    <row r="1" s="1" customFormat="1" ht="22" customHeight="1" spans="1:5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</row>
    <row r="2" customHeight="1" spans="1:3">
      <c r="A2" s="2" t="s">
        <v>5</v>
      </c>
      <c r="B2" s="3" t="s">
        <v>6</v>
      </c>
      <c r="C2" s="2" t="str">
        <f>_xlfn.DISPIMG("ID_03E3D9CC3CAD4D80BC52CFAD9FA841D9",1)</f>
        <v>=DISPIMG("ID_03E3D9CC3CAD4D80BC52CFAD9FA841D9",1)</v>
      </c>
    </row>
    <row r="3" customHeight="1" spans="1:3">
      <c r="A3" s="2" t="s">
        <v>7</v>
      </c>
      <c r="B3" s="3" t="s">
        <v>8</v>
      </c>
      <c r="C3" s="2" t="str">
        <f>_xlfn.DISPIMG("ID_B9F901458AAC4119951AC509CAA849C9",1)</f>
        <v>=DISPIMG("ID_B9F901458AAC4119951AC509CAA849C9",1)</v>
      </c>
    </row>
    <row r="4" customHeight="1" spans="1:4">
      <c r="A4" s="2" t="s">
        <v>9</v>
      </c>
      <c r="B4" s="3" t="s">
        <v>10</v>
      </c>
      <c r="C4" s="2" t="str">
        <f>_xlfn.DISPIMG("ID_6D4054353E034C5995655C0F0F8CE46E",1)</f>
        <v>=DISPIMG("ID_6D4054353E034C5995655C0F0F8CE46E",1)</v>
      </c>
      <c r="D4" s="2" t="str">
        <f>_xlfn.DISPIMG("ID_498DCE23504243D582817C15DF221162",1)</f>
        <v>=DISPIMG("ID_498DCE23504243D582817C15DF221162",1)</v>
      </c>
    </row>
    <row r="5" customHeight="1" spans="1:3">
      <c r="A5" s="2" t="s">
        <v>11</v>
      </c>
      <c r="B5" s="3" t="s">
        <v>12</v>
      </c>
      <c r="C5" s="2" t="str">
        <f>_xlfn.DISPIMG("ID_448E5FC704D94C2A9E5B627A79EE967B",1)</f>
        <v>=DISPIMG("ID_448E5FC704D94C2A9E5B627A79EE967B",1)</v>
      </c>
    </row>
    <row r="6" customHeight="1" spans="1:3">
      <c r="A6" s="2" t="s">
        <v>13</v>
      </c>
      <c r="B6" s="3" t="s">
        <v>14</v>
      </c>
      <c r="C6" s="2" t="str">
        <f>_xlfn.DISPIMG("ID_63399EC3E80B4566A60D0ECFCBDE3B4C",1)</f>
        <v>=DISPIMG("ID_63399EC3E80B4566A60D0ECFCBDE3B4C",1)</v>
      </c>
    </row>
    <row r="7" customHeight="1" spans="1:3">
      <c r="A7" s="2" t="s">
        <v>15</v>
      </c>
      <c r="B7" s="3" t="s">
        <v>16</v>
      </c>
      <c r="C7" s="2" t="str">
        <f>_xlfn.DISPIMG("ID_064B3120738647D99CDB63B6CE8AF18D",1)</f>
        <v>=DISPIMG("ID_064B3120738647D99CDB63B6CE8AF18D",1)</v>
      </c>
    </row>
    <row r="8" customHeight="1" spans="1:3">
      <c r="A8" s="2" t="s">
        <v>17</v>
      </c>
      <c r="B8" s="3" t="s">
        <v>18</v>
      </c>
      <c r="C8" s="2" t="str">
        <f>_xlfn.DISPIMG("ID_4941D6FE75C14F29B42CCFDE86C8F2E8",1)</f>
        <v>=DISPIMG("ID_4941D6FE75C14F29B42CCFDE86C8F2E8",1)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wkui</dc:creator>
  <cp:lastModifiedBy>王逵</cp:lastModifiedBy>
  <dcterms:created xsi:type="dcterms:W3CDTF">2026-06-22T10:09:04Z</dcterms:created>
  <dcterms:modified xsi:type="dcterms:W3CDTF">2026-06-22T10:59:32Z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4430FF4495068B024099386A2A2AE413_41</vt:lpwstr>
  </property>
  <property fmtid="{D5CDD505-2E9C-101B-9397-08002B2CF9AE}" pid="3" name="KSOProductBuildVer">
    <vt:lpwstr>1033-7.2.2.8955</vt:lpwstr>
  </property>
</Properties>
</file>